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2"/>
  </bookViews>
  <sheets>
    <sheet name="2021" sheetId="1" r:id="rId1"/>
    <sheet name="2030" sheetId="2" r:id="rId2"/>
    <sheet name="205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<sst xmlns="http://schemas.openxmlformats.org/spreadsheetml/2006/main" count="123" uniqueCount="41">
  <si>
    <t>Province</t>
  </si>
  <si>
    <t>Urea Production_10kton</t>
  </si>
  <si>
    <t>Ammonium Carbonate Production_10kton</t>
  </si>
  <si>
    <t>Diammonium Phosphate Production_10kton</t>
  </si>
  <si>
    <t>Compound Fertilizer Production_10kton</t>
  </si>
  <si>
    <t>Urea Application_ton</t>
  </si>
  <si>
    <t>Ammonium Carbonate Application_ton</t>
  </si>
  <si>
    <t>Diammonium Phosphate Application_ton</t>
  </si>
  <si>
    <t>Compound Fertilizer Application_ton</t>
  </si>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</sst>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1" sqref="A1:I1"/>
    </sheetView>
  </sheetViews>
  <sheetFormatPr defaultColWidth="8.72727272727273" defaultRowHeight="14"/>
  <cols>
    <col min="2" max="9" width="12.8181818181818"/>
  </cols>
  <sheetData>
    <row r="1" ht="5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>
        <v>0</v>
      </c>
      <c r="C2">
        <v>0</v>
      </c>
      <c r="D2">
        <v>0</v>
      </c>
      <c r="E2">
        <v>0</v>
      </c>
      <c r="F2" s="2">
        <v>10435.3181262245</v>
      </c>
      <c r="G2" s="2">
        <v>494.2349274955</v>
      </c>
      <c r="H2" s="2">
        <v>1726.28500280481</v>
      </c>
      <c r="I2" s="2">
        <v>8646.4468742094</v>
      </c>
    </row>
    <row r="3" spans="1:9">
      <c r="A3" s="2" t="s">
        <v>10</v>
      </c>
      <c r="B3">
        <v>2.1591548630429</v>
      </c>
      <c r="C3">
        <v>0.131345192430707</v>
      </c>
      <c r="D3">
        <v>0.214011718451371</v>
      </c>
      <c r="E3">
        <v>1.23692203779943</v>
      </c>
      <c r="F3" s="2">
        <v>44757.7111991545</v>
      </c>
      <c r="G3" s="2">
        <v>2096.5278464065</v>
      </c>
      <c r="H3" s="2">
        <v>3870.79513116687</v>
      </c>
      <c r="I3" s="2">
        <v>21360.1060910344</v>
      </c>
    </row>
    <row r="4" spans="1:9">
      <c r="A4" s="2" t="s">
        <v>11</v>
      </c>
      <c r="B4">
        <v>94.2048698432906</v>
      </c>
      <c r="C4">
        <v>5.73064812036636</v>
      </c>
      <c r="D4">
        <v>9.33742476129643</v>
      </c>
      <c r="E4">
        <v>53.9674488253127</v>
      </c>
      <c r="F4" s="2">
        <v>764287.385207778</v>
      </c>
      <c r="G4" s="2">
        <v>30346.5496680555</v>
      </c>
      <c r="H4" s="2">
        <v>104569.380967789</v>
      </c>
      <c r="I4" s="2">
        <v>513691.73303154</v>
      </c>
    </row>
    <row r="5" spans="1:9">
      <c r="A5" s="2" t="s">
        <v>12</v>
      </c>
      <c r="B5">
        <v>214.283532965334</v>
      </c>
      <c r="C5">
        <v>13.035244647713</v>
      </c>
      <c r="D5">
        <v>21.2394154354972</v>
      </c>
      <c r="E5">
        <v>122.757301386341</v>
      </c>
      <c r="F5" s="2">
        <v>274302.395518958</v>
      </c>
      <c r="G5" s="2">
        <v>17850.5334434525</v>
      </c>
      <c r="H5" s="2">
        <v>24250.2181392406</v>
      </c>
      <c r="I5" s="2">
        <v>121160.362605699</v>
      </c>
    </row>
    <row r="6" spans="1:9">
      <c r="A6" s="2" t="s">
        <v>13</v>
      </c>
      <c r="B6">
        <v>196.139784336487</v>
      </c>
      <c r="C6">
        <v>11.9315284688226</v>
      </c>
      <c r="D6">
        <v>19.441038260394</v>
      </c>
      <c r="E6">
        <v>112.363233359333</v>
      </c>
      <c r="F6" s="2">
        <v>774522.841516365</v>
      </c>
      <c r="G6" s="2">
        <v>34900.5416368753</v>
      </c>
      <c r="H6" s="2">
        <v>138600.960100972</v>
      </c>
      <c r="I6" s="2">
        <v>158568.50636781</v>
      </c>
    </row>
    <row r="7" spans="1:9">
      <c r="A7" s="2" t="s">
        <v>14</v>
      </c>
      <c r="B7">
        <v>19.2997050598371</v>
      </c>
      <c r="C7">
        <v>1.17403504414117</v>
      </c>
      <c r="D7">
        <v>1.91295358946112</v>
      </c>
      <c r="E7">
        <v>11.0562845306512</v>
      </c>
      <c r="F7" s="2">
        <v>214152.437011064</v>
      </c>
      <c r="G7" s="2">
        <v>21378.2022393195</v>
      </c>
      <c r="H7" s="2">
        <v>25786.7364788707</v>
      </c>
      <c r="I7" s="2">
        <v>162226.14417958</v>
      </c>
    </row>
    <row r="8" spans="1:9">
      <c r="A8" s="2" t="s">
        <v>15</v>
      </c>
      <c r="B8">
        <v>13.5520455823208</v>
      </c>
      <c r="C8">
        <v>0.82439479692118</v>
      </c>
      <c r="D8">
        <v>1.3432554622397</v>
      </c>
      <c r="E8">
        <v>7.76360423467312</v>
      </c>
      <c r="F8" s="2">
        <v>200118.20676384</v>
      </c>
      <c r="G8" s="2">
        <v>4609.3883124735</v>
      </c>
      <c r="H8" s="2">
        <v>17527.6590204588</v>
      </c>
      <c r="I8" s="2">
        <v>138838.572545651</v>
      </c>
    </row>
    <row r="9" spans="1:9">
      <c r="A9" s="2" t="s">
        <v>16</v>
      </c>
      <c r="B9">
        <v>41.8869018867546</v>
      </c>
      <c r="C9">
        <v>2.54805400150336</v>
      </c>
      <c r="D9">
        <v>4.15175771169787</v>
      </c>
      <c r="E9">
        <v>23.9958851149065</v>
      </c>
      <c r="F9" s="2">
        <v>880470.975253774</v>
      </c>
      <c r="G9" s="2">
        <v>1300.942702779</v>
      </c>
      <c r="H9" s="2">
        <v>83975.4450827611</v>
      </c>
      <c r="I9" s="2">
        <v>376153.34467348</v>
      </c>
    </row>
    <row r="10" spans="1:9">
      <c r="A10" s="2" t="s">
        <v>17</v>
      </c>
      <c r="B10">
        <v>0.62397247902523</v>
      </c>
      <c r="C10">
        <v>0.0379573446684289</v>
      </c>
      <c r="D10">
        <v>0.0618470795162683</v>
      </c>
      <c r="E10">
        <v>0.357457134500737</v>
      </c>
      <c r="F10" s="2">
        <v>23435.1184702605</v>
      </c>
      <c r="G10" s="2">
        <v>911.990478680502</v>
      </c>
      <c r="H10" s="2">
        <v>1611.54448543539</v>
      </c>
      <c r="I10" s="2">
        <v>12603.7180257179</v>
      </c>
    </row>
    <row r="11" spans="1:9">
      <c r="A11" s="2" t="s">
        <v>18</v>
      </c>
      <c r="B11">
        <v>101.682182087423</v>
      </c>
      <c r="C11">
        <v>6.18550619117002</v>
      </c>
      <c r="D11">
        <v>10.0785630974828</v>
      </c>
      <c r="E11">
        <v>58.2510009023695</v>
      </c>
      <c r="F11" s="2">
        <v>1246365.33251095</v>
      </c>
      <c r="G11" s="2">
        <v>7904.1168919935</v>
      </c>
      <c r="H11" s="2">
        <v>27391.7365641742</v>
      </c>
      <c r="I11" s="2">
        <v>457113.05701627</v>
      </c>
    </row>
    <row r="12" spans="1:9">
      <c r="A12" s="2" t="s">
        <v>19</v>
      </c>
      <c r="B12">
        <v>17.248603696087</v>
      </c>
      <c r="C12">
        <v>1.04926293634665</v>
      </c>
      <c r="D12">
        <v>1.70965194811638</v>
      </c>
      <c r="E12">
        <v>9.88126345087213</v>
      </c>
      <c r="F12" s="2">
        <v>238916.336459762</v>
      </c>
      <c r="G12" s="2">
        <v>16926.8363725889</v>
      </c>
      <c r="H12" s="2">
        <v>19786.6521566754</v>
      </c>
      <c r="I12" s="2">
        <v>135692.397934268</v>
      </c>
    </row>
    <row r="13" spans="1:9">
      <c r="A13" s="2" t="s">
        <v>20</v>
      </c>
      <c r="B13">
        <v>93.4334307518252</v>
      </c>
      <c r="C13">
        <v>5.68372012198541</v>
      </c>
      <c r="D13">
        <v>9.26096104464926</v>
      </c>
      <c r="E13">
        <v>53.5255120150421</v>
      </c>
      <c r="F13" s="2">
        <v>885523.621921595</v>
      </c>
      <c r="G13" s="2">
        <v>11078.717069333</v>
      </c>
      <c r="H13" s="2">
        <v>30863.779286773</v>
      </c>
      <c r="I13" s="2">
        <v>577307.8589566</v>
      </c>
    </row>
    <row r="14" spans="1:9">
      <c r="A14" s="2" t="s">
        <v>21</v>
      </c>
      <c r="B14">
        <v>31.1280304829598</v>
      </c>
      <c r="C14">
        <v>1.89357290843479</v>
      </c>
      <c r="D14">
        <v>3.08535687258507</v>
      </c>
      <c r="E14">
        <v>17.8324156162671</v>
      </c>
      <c r="F14" s="2">
        <v>95105.680000933</v>
      </c>
      <c r="G14" s="2">
        <v>40764.79302</v>
      </c>
      <c r="H14" s="2">
        <v>20902.4057736003</v>
      </c>
      <c r="I14" s="2">
        <v>117160.263753121</v>
      </c>
    </row>
    <row r="15" spans="1:9">
      <c r="A15" s="2" t="s">
        <v>22</v>
      </c>
      <c r="B15">
        <v>44.5835140425765</v>
      </c>
      <c r="C15">
        <v>2.71209366747631</v>
      </c>
      <c r="D15">
        <v>4.41904127312385</v>
      </c>
      <c r="E15">
        <v>25.5407020523231</v>
      </c>
      <c r="F15" s="2">
        <v>398216.183895021</v>
      </c>
      <c r="G15" s="2">
        <v>6594.290485587</v>
      </c>
      <c r="H15" s="2">
        <v>24273.6087937291</v>
      </c>
      <c r="I15" s="2">
        <v>325277.766585818</v>
      </c>
    </row>
    <row r="16" spans="1:9">
      <c r="A16" s="2" t="s">
        <v>23</v>
      </c>
      <c r="B16">
        <v>219.1269072482</v>
      </c>
      <c r="C16">
        <v>13.3298756341631</v>
      </c>
      <c r="D16">
        <v>21.7194823686853</v>
      </c>
      <c r="E16">
        <v>125.531940894757</v>
      </c>
      <c r="F16" s="2">
        <v>1024340.44765765</v>
      </c>
      <c r="G16" s="2">
        <v>56613.8024083106</v>
      </c>
      <c r="H16" s="2">
        <v>98017.1378680863</v>
      </c>
      <c r="I16" s="2">
        <v>841419.87568272</v>
      </c>
    </row>
    <row r="17" spans="1:9">
      <c r="A17" s="2" t="s">
        <v>24</v>
      </c>
      <c r="B17">
        <v>203.860909970435</v>
      </c>
      <c r="C17">
        <v>12.4012181374661</v>
      </c>
      <c r="D17">
        <v>20.2063429606652</v>
      </c>
      <c r="E17">
        <v>116.786459602488</v>
      </c>
      <c r="F17" s="2">
        <v>1014915.19552436</v>
      </c>
      <c r="G17" s="2">
        <v>43338.253187988</v>
      </c>
      <c r="H17" s="2">
        <v>85018.7421643113</v>
      </c>
      <c r="I17" s="2">
        <v>1124223.20912009</v>
      </c>
    </row>
    <row r="18" spans="1:9">
      <c r="A18" s="2" t="s">
        <v>25</v>
      </c>
      <c r="B18">
        <v>147.394317629186</v>
      </c>
      <c r="C18">
        <v>8.96625589186071</v>
      </c>
      <c r="D18">
        <v>14.6094713935128</v>
      </c>
      <c r="E18">
        <v>84.4382600074417</v>
      </c>
      <c r="F18" s="2">
        <v>397874.902819847</v>
      </c>
      <c r="G18" s="2">
        <v>67050.4632746178</v>
      </c>
      <c r="H18" s="2">
        <v>62231.220928124</v>
      </c>
      <c r="I18" s="2">
        <v>414290.007359187</v>
      </c>
    </row>
    <row r="19" spans="1:9">
      <c r="A19" s="2" t="s">
        <v>26</v>
      </c>
      <c r="B19">
        <v>28.6885981232569</v>
      </c>
      <c r="C19">
        <v>1.74517794233434</v>
      </c>
      <c r="D19">
        <v>2.84356453045999</v>
      </c>
      <c r="E19">
        <v>16.4349301014092</v>
      </c>
      <c r="F19" s="2">
        <v>668212.842347899</v>
      </c>
      <c r="G19" s="2">
        <v>30098.7118904175</v>
      </c>
      <c r="H19" s="2">
        <v>43131.6759451287</v>
      </c>
      <c r="I19" s="2">
        <v>309192.737168022</v>
      </c>
    </row>
    <row r="20" spans="1:9">
      <c r="A20" s="2" t="s">
        <v>27</v>
      </c>
      <c r="B20">
        <v>3.02763757094774</v>
      </c>
      <c r="C20">
        <v>0.184176524886287</v>
      </c>
      <c r="D20">
        <v>0.300094231542662</v>
      </c>
      <c r="E20">
        <v>1.73445253884986</v>
      </c>
      <c r="F20" s="2">
        <v>287420.154318905</v>
      </c>
      <c r="G20" s="2">
        <v>37961.635190068</v>
      </c>
      <c r="H20" s="2">
        <v>10426.6035864091</v>
      </c>
      <c r="I20" s="2">
        <v>368289.212381539</v>
      </c>
    </row>
    <row r="21" spans="1:9">
      <c r="A21" s="2" t="s">
        <v>28</v>
      </c>
      <c r="B21">
        <v>23.4657060379626</v>
      </c>
      <c r="C21">
        <v>1.42746021965973</v>
      </c>
      <c r="D21">
        <v>2.32588044508381</v>
      </c>
      <c r="E21">
        <v>13.4428750006258</v>
      </c>
      <c r="F21" s="2">
        <v>554653.320405622</v>
      </c>
      <c r="G21" s="2">
        <v>37033.8846576675</v>
      </c>
      <c r="H21" s="2">
        <v>35159.9233415521</v>
      </c>
      <c r="I21" s="2">
        <v>470694.090549156</v>
      </c>
    </row>
    <row r="22" spans="1:9">
      <c r="A22" s="2" t="s">
        <v>29</v>
      </c>
      <c r="B22">
        <v>25.057222426679</v>
      </c>
      <c r="C22">
        <v>1.52427496412784</v>
      </c>
      <c r="D22">
        <v>2.48362881372685</v>
      </c>
      <c r="E22">
        <v>14.3546121476074</v>
      </c>
      <c r="F22" s="2">
        <v>88558.2170456208</v>
      </c>
      <c r="G22" s="2">
        <v>1266.72470079709</v>
      </c>
      <c r="H22" s="2">
        <v>8122.76010578334</v>
      </c>
      <c r="I22" s="2">
        <v>45628.384844869</v>
      </c>
    </row>
    <row r="23" spans="1:9">
      <c r="A23" s="2" t="s">
        <v>30</v>
      </c>
      <c r="B23">
        <v>85.3744241283693</v>
      </c>
      <c r="C23">
        <v>5.19347655776677</v>
      </c>
      <c r="D23">
        <v>8.46216616151331</v>
      </c>
      <c r="E23">
        <v>48.9087227953583</v>
      </c>
      <c r="F23" s="2">
        <v>211820.265505679</v>
      </c>
      <c r="G23" s="2">
        <v>37772.7429581801</v>
      </c>
      <c r="H23" s="2">
        <v>21780.5093853415</v>
      </c>
      <c r="I23" s="2">
        <v>261827.952731064</v>
      </c>
    </row>
    <row r="24" spans="1:9">
      <c r="A24" s="2" t="s">
        <v>31</v>
      </c>
      <c r="B24">
        <v>129.120349199338</v>
      </c>
      <c r="C24">
        <v>7.85461821316804</v>
      </c>
      <c r="D24">
        <v>12.7981870555815</v>
      </c>
      <c r="E24">
        <v>73.9695925413784</v>
      </c>
      <c r="F24" s="2">
        <v>934253.448610175</v>
      </c>
      <c r="G24" s="2">
        <v>147846.577919988</v>
      </c>
      <c r="H24" s="2">
        <v>111653.900108932</v>
      </c>
      <c r="I24" s="2">
        <v>396596.359374141</v>
      </c>
    </row>
    <row r="25" spans="1:9">
      <c r="A25" s="2" t="s">
        <v>32</v>
      </c>
      <c r="B25">
        <v>34.5521539500058</v>
      </c>
      <c r="C25">
        <v>2.10186836856303</v>
      </c>
      <c r="D25">
        <v>3.42475010459227</v>
      </c>
      <c r="E25">
        <v>19.794004314248</v>
      </c>
      <c r="F25" s="2">
        <v>359872.599154156</v>
      </c>
      <c r="G25" s="2">
        <v>14539.8434553105</v>
      </c>
      <c r="H25" s="2">
        <v>57627.5199043116</v>
      </c>
      <c r="I25" s="2">
        <v>396594.716463506</v>
      </c>
    </row>
    <row r="26" spans="1:9">
      <c r="A26" s="2" t="s">
        <v>33</v>
      </c>
      <c r="B26">
        <v>58.0846884223476</v>
      </c>
      <c r="C26">
        <v>3.53339387956597</v>
      </c>
      <c r="D26">
        <v>5.75725446921409</v>
      </c>
      <c r="E26">
        <v>33.2751635364691</v>
      </c>
      <c r="F26" s="2">
        <v>1082872.38099301</v>
      </c>
      <c r="G26" s="2">
        <v>15430.048308999</v>
      </c>
      <c r="H26" s="2">
        <v>42202.8798021162</v>
      </c>
      <c r="I26" s="2">
        <v>225347.093310147</v>
      </c>
    </row>
    <row r="27" spans="1:9">
      <c r="A27" s="2" t="s">
        <v>34</v>
      </c>
      <c r="B27">
        <v>7.79781255873314e-10</v>
      </c>
      <c r="C27">
        <v>4.74354669318148e-11</v>
      </c>
      <c r="D27">
        <v>7.72905776431566e-11</v>
      </c>
      <c r="E27">
        <v>4.4671581300718e-10</v>
      </c>
      <c r="F27" s="2">
        <v>23604.550531446</v>
      </c>
      <c r="G27" s="2">
        <v>1127.042113059</v>
      </c>
      <c r="H27" s="2">
        <v>1178.91275553864</v>
      </c>
      <c r="I27" s="2">
        <v>6119.1244286784</v>
      </c>
    </row>
    <row r="28" spans="1:9">
      <c r="A28" s="2" t="s">
        <v>35</v>
      </c>
      <c r="B28">
        <v>82.770437754629</v>
      </c>
      <c r="C28">
        <v>5.035071481225</v>
      </c>
      <c r="D28">
        <v>8.20406350838415</v>
      </c>
      <c r="E28">
        <v>47.416968689648</v>
      </c>
      <c r="F28" s="2">
        <v>563344.40976955</v>
      </c>
      <c r="G28" s="2">
        <v>160039.815199994</v>
      </c>
      <c r="H28" s="2">
        <v>101948.967176374</v>
      </c>
      <c r="I28" s="2">
        <v>237731.567520399</v>
      </c>
    </row>
    <row r="29" spans="1:9">
      <c r="A29" s="2" t="s">
        <v>36</v>
      </c>
      <c r="B29">
        <v>14.9884656103514</v>
      </c>
      <c r="C29">
        <v>0.911774756655574</v>
      </c>
      <c r="D29">
        <v>1.48563094622123</v>
      </c>
      <c r="E29">
        <v>8.58649082730208</v>
      </c>
      <c r="F29" s="2">
        <v>645352.151525243</v>
      </c>
      <c r="G29" s="2">
        <v>12017.1332866</v>
      </c>
      <c r="H29" s="2">
        <v>98290.5034049695</v>
      </c>
      <c r="I29" s="2">
        <v>107363.083952505</v>
      </c>
    </row>
    <row r="30" spans="1:9">
      <c r="A30" s="2" t="s">
        <v>37</v>
      </c>
      <c r="B30">
        <v>33.3400880192396</v>
      </c>
      <c r="C30">
        <v>2.02813626363618</v>
      </c>
      <c r="D30">
        <v>3.30461221306833</v>
      </c>
      <c r="E30">
        <v>19.0996441797842</v>
      </c>
      <c r="F30" s="2">
        <v>44185.333953609</v>
      </c>
      <c r="G30" s="2">
        <v>1045.9194485055</v>
      </c>
      <c r="H30" s="2">
        <v>5775.04736140203</v>
      </c>
      <c r="I30" s="2">
        <v>14323.5107363286</v>
      </c>
    </row>
    <row r="31" spans="1:9">
      <c r="A31" s="2" t="s">
        <v>38</v>
      </c>
      <c r="B31">
        <v>32.6141059768988</v>
      </c>
      <c r="C31">
        <v>1.98397349759998</v>
      </c>
      <c r="D31">
        <v>3.23265412099001</v>
      </c>
      <c r="E31">
        <v>18.6837484964368</v>
      </c>
      <c r="F31" s="2">
        <v>123216.92684278</v>
      </c>
      <c r="G31" s="2">
        <v>14148.1515817383</v>
      </c>
      <c r="H31" s="2">
        <v>29002.7502476456</v>
      </c>
      <c r="I31" s="2">
        <v>39917.7519282586</v>
      </c>
    </row>
    <row r="32" spans="1:9">
      <c r="A32" s="2" t="s">
        <v>39</v>
      </c>
      <c r="B32">
        <v>157.58398658596</v>
      </c>
      <c r="C32">
        <v>9.58611139775369</v>
      </c>
      <c r="D32">
        <v>15.6194538645323</v>
      </c>
      <c r="E32">
        <v>90.275648657162</v>
      </c>
      <c r="F32" s="2">
        <v>876245.439362607</v>
      </c>
      <c r="G32" s="2">
        <v>35028.663628041</v>
      </c>
      <c r="H32" s="2">
        <v>145246.06079834</v>
      </c>
      <c r="I32" s="2">
        <v>179870.551575412</v>
      </c>
    </row>
    <row r="33" spans="1:9">
      <c r="A33" t="s">
        <v>40</v>
      </c>
      <c r="B33">
        <f t="shared" ref="B33:I33" si="0">SUM(B2:B32)</f>
        <v>2149.27572673155</v>
      </c>
      <c r="C33">
        <f t="shared" si="0"/>
        <v>130.74422717246</v>
      </c>
      <c r="D33">
        <f t="shared" si="0"/>
        <v>213.032515442362</v>
      </c>
      <c r="E33">
        <f t="shared" si="0"/>
        <v>1231.2625449918</v>
      </c>
      <c r="F33">
        <f t="shared" si="0"/>
        <v>14951352.1302238</v>
      </c>
      <c r="G33">
        <f t="shared" si="0"/>
        <v>909517.078305322</v>
      </c>
      <c r="H33">
        <f t="shared" si="0"/>
        <v>1481952.32186882</v>
      </c>
      <c r="I33">
        <f t="shared" si="0"/>
        <v>8565229.50776682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1" sqref="A1:I1"/>
    </sheetView>
  </sheetViews>
  <sheetFormatPr defaultColWidth="8.72727272727273" defaultRowHeight="14"/>
  <cols>
    <col min="2" max="9" width="12.8181818181818"/>
  </cols>
  <sheetData>
    <row r="1" ht="5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>
        <v>0</v>
      </c>
      <c r="C2">
        <v>0</v>
      </c>
      <c r="D2">
        <v>0</v>
      </c>
      <c r="E2">
        <v>0</v>
      </c>
      <c r="F2">
        <v>11549.79</v>
      </c>
      <c r="G2">
        <v>547.02</v>
      </c>
      <c r="H2">
        <v>1910.65</v>
      </c>
      <c r="I2">
        <v>9569.87</v>
      </c>
    </row>
    <row r="3" spans="1:9">
      <c r="A3" s="2" t="s">
        <v>10</v>
      </c>
      <c r="B3">
        <v>1.883395559</v>
      </c>
      <c r="C3">
        <v>0.114570268</v>
      </c>
      <c r="D3">
        <v>0.18667893</v>
      </c>
      <c r="E3">
        <v>1.078946912</v>
      </c>
      <c r="F3">
        <v>37974.68</v>
      </c>
      <c r="G3">
        <v>1778.8</v>
      </c>
      <c r="H3">
        <v>3284.18</v>
      </c>
      <c r="I3">
        <v>18122.98</v>
      </c>
    </row>
    <row r="4" spans="1:9">
      <c r="A4" s="2" t="s">
        <v>11</v>
      </c>
      <c r="B4">
        <v>95.02805143</v>
      </c>
      <c r="C4">
        <v>5.780723706</v>
      </c>
      <c r="D4">
        <v>9.419017106</v>
      </c>
      <c r="E4">
        <v>54.43902753</v>
      </c>
      <c r="F4">
        <v>780615.4</v>
      </c>
      <c r="G4">
        <v>30994.86</v>
      </c>
      <c r="H4">
        <v>106803.37</v>
      </c>
      <c r="I4">
        <v>524666.1</v>
      </c>
    </row>
    <row r="5" spans="1:9">
      <c r="A5" s="2" t="s">
        <v>12</v>
      </c>
      <c r="B5">
        <v>205.7791587</v>
      </c>
      <c r="C5">
        <v>12.51790858</v>
      </c>
      <c r="D5">
        <v>20.39647647</v>
      </c>
      <c r="E5">
        <v>117.8853729</v>
      </c>
      <c r="F5">
        <v>295572.81</v>
      </c>
      <c r="G5">
        <v>19234.73</v>
      </c>
      <c r="H5">
        <v>26130.67</v>
      </c>
      <c r="I5">
        <v>130555.58</v>
      </c>
    </row>
    <row r="6" spans="1:9">
      <c r="A6" s="2" t="s">
        <v>13</v>
      </c>
      <c r="B6">
        <v>190.4525771</v>
      </c>
      <c r="C6">
        <v>11.58556564</v>
      </c>
      <c r="D6">
        <v>18.87733206</v>
      </c>
      <c r="E6">
        <v>109.1051846</v>
      </c>
      <c r="F6">
        <v>786947.4</v>
      </c>
      <c r="G6">
        <v>35460.4</v>
      </c>
      <c r="H6">
        <v>140824.34</v>
      </c>
      <c r="I6">
        <v>161112.19</v>
      </c>
    </row>
    <row r="7" spans="1:9">
      <c r="A7" s="2" t="s">
        <v>14</v>
      </c>
      <c r="B7">
        <v>17.88260711</v>
      </c>
      <c r="C7">
        <v>1.08783048</v>
      </c>
      <c r="D7">
        <v>1.772493277</v>
      </c>
      <c r="E7">
        <v>10.24446704</v>
      </c>
      <c r="F7">
        <v>197927.78</v>
      </c>
      <c r="G7">
        <v>19758.54</v>
      </c>
      <c r="H7">
        <v>23833.08</v>
      </c>
      <c r="I7">
        <v>149935.53</v>
      </c>
    </row>
    <row r="8" spans="1:9">
      <c r="A8" s="2" t="s">
        <v>15</v>
      </c>
      <c r="B8">
        <v>13.36296885</v>
      </c>
      <c r="C8">
        <v>0.812892926</v>
      </c>
      <c r="D8">
        <v>1.324514502</v>
      </c>
      <c r="E8">
        <v>7.655287235</v>
      </c>
      <c r="F8">
        <v>202281.26</v>
      </c>
      <c r="G8">
        <v>4659.21</v>
      </c>
      <c r="H8">
        <v>17717.11</v>
      </c>
      <c r="I8">
        <v>140339.26</v>
      </c>
    </row>
    <row r="9" spans="1:9">
      <c r="A9" s="2" t="s">
        <v>16</v>
      </c>
      <c r="B9">
        <v>35.81841995</v>
      </c>
      <c r="C9">
        <v>2.178897559</v>
      </c>
      <c r="D9">
        <v>3.550260214</v>
      </c>
      <c r="E9">
        <v>20.51941422</v>
      </c>
      <c r="F9">
        <v>745581.73</v>
      </c>
      <c r="G9">
        <v>1101.64</v>
      </c>
      <c r="H9">
        <v>71110.3</v>
      </c>
      <c r="I9">
        <v>318526.19</v>
      </c>
    </row>
    <row r="10" spans="1:9">
      <c r="A10" s="2" t="s">
        <v>17</v>
      </c>
      <c r="B10">
        <v>0.584454794</v>
      </c>
      <c r="C10">
        <v>0.035553414</v>
      </c>
      <c r="D10">
        <v>0.057930155</v>
      </c>
      <c r="E10">
        <v>0.334818511</v>
      </c>
      <c r="F10">
        <v>20600.91</v>
      </c>
      <c r="G10">
        <v>801.7</v>
      </c>
      <c r="H10">
        <v>1416.65</v>
      </c>
      <c r="I10">
        <v>11079.45</v>
      </c>
    </row>
    <row r="11" spans="1:9">
      <c r="A11" s="2" t="s">
        <v>18</v>
      </c>
      <c r="B11">
        <v>97.42911318</v>
      </c>
      <c r="C11">
        <v>5.92678452</v>
      </c>
      <c r="D11">
        <v>9.657006218</v>
      </c>
      <c r="E11">
        <v>55.81453154</v>
      </c>
      <c r="F11">
        <v>1204028.47</v>
      </c>
      <c r="G11">
        <v>7635.63</v>
      </c>
      <c r="H11">
        <v>26461.29</v>
      </c>
      <c r="I11">
        <v>441585.72</v>
      </c>
    </row>
    <row r="12" spans="1:9">
      <c r="A12" s="2" t="s">
        <v>19</v>
      </c>
      <c r="B12">
        <v>16.92960635</v>
      </c>
      <c r="C12">
        <v>1.029857766</v>
      </c>
      <c r="D12">
        <v>1.678033479</v>
      </c>
      <c r="E12">
        <v>9.698518408</v>
      </c>
      <c r="F12">
        <v>245133.72</v>
      </c>
      <c r="G12">
        <v>17367.33</v>
      </c>
      <c r="H12">
        <v>20301.57</v>
      </c>
      <c r="I12">
        <v>139223.56</v>
      </c>
    </row>
    <row r="13" spans="1:9">
      <c r="A13" s="2" t="s">
        <v>20</v>
      </c>
      <c r="B13">
        <v>89.50940226</v>
      </c>
      <c r="C13">
        <v>5.445014559</v>
      </c>
      <c r="D13">
        <v>8.872018086</v>
      </c>
      <c r="E13">
        <v>51.27754111</v>
      </c>
      <c r="F13">
        <v>850700.2</v>
      </c>
      <c r="G13">
        <v>10643.04</v>
      </c>
      <c r="H13">
        <v>29650.05</v>
      </c>
      <c r="I13">
        <v>554605.09</v>
      </c>
    </row>
    <row r="14" spans="1:9">
      <c r="A14" s="2" t="s">
        <v>21</v>
      </c>
      <c r="B14">
        <v>26.89718035</v>
      </c>
      <c r="C14">
        <v>1.636202844</v>
      </c>
      <c r="D14">
        <v>2.66600228</v>
      </c>
      <c r="E14">
        <v>15.4086748</v>
      </c>
      <c r="F14">
        <v>79566.79</v>
      </c>
      <c r="G14">
        <v>34104.42</v>
      </c>
      <c r="H14">
        <v>17487.26</v>
      </c>
      <c r="I14">
        <v>98017.97</v>
      </c>
    </row>
    <row r="15" spans="1:9">
      <c r="A15" s="2" t="s">
        <v>22</v>
      </c>
      <c r="B15">
        <v>40.29481791</v>
      </c>
      <c r="C15">
        <v>2.45120473</v>
      </c>
      <c r="D15">
        <v>3.993953085</v>
      </c>
      <c r="E15">
        <v>23.08382281</v>
      </c>
      <c r="F15">
        <v>355187.05</v>
      </c>
      <c r="G15">
        <v>5881.75</v>
      </c>
      <c r="H15">
        <v>21650.73</v>
      </c>
      <c r="I15">
        <v>290129.97</v>
      </c>
    </row>
    <row r="16" spans="1:9">
      <c r="A16" s="2" t="s">
        <v>23</v>
      </c>
      <c r="B16">
        <v>219.4159829</v>
      </c>
      <c r="C16">
        <v>13.34746062</v>
      </c>
      <c r="D16">
        <v>21.74813505</v>
      </c>
      <c r="E16">
        <v>125.6975446</v>
      </c>
      <c r="F16">
        <v>1044058</v>
      </c>
      <c r="G16">
        <v>57703.56</v>
      </c>
      <c r="H16">
        <v>99903.87</v>
      </c>
      <c r="I16">
        <v>857616.39</v>
      </c>
    </row>
    <row r="17" spans="1:9">
      <c r="A17" s="2" t="s">
        <v>24</v>
      </c>
      <c r="B17">
        <v>198.9103658</v>
      </c>
      <c r="C17">
        <v>12.10006782</v>
      </c>
      <c r="D17">
        <v>19.71565353</v>
      </c>
      <c r="E17">
        <v>113.9504253</v>
      </c>
      <c r="F17">
        <v>1010153.85</v>
      </c>
      <c r="G17">
        <v>43134.94</v>
      </c>
      <c r="H17">
        <v>84619.89</v>
      </c>
      <c r="I17">
        <v>1118949.06</v>
      </c>
    </row>
    <row r="18" spans="1:9">
      <c r="A18" s="2" t="s">
        <v>25</v>
      </c>
      <c r="B18">
        <v>131.9393618</v>
      </c>
      <c r="C18">
        <v>8.026103716</v>
      </c>
      <c r="D18">
        <v>13.07760274</v>
      </c>
      <c r="E18">
        <v>75.58452944</v>
      </c>
      <c r="F18">
        <v>341303.34</v>
      </c>
      <c r="G18">
        <v>57516.94</v>
      </c>
      <c r="H18">
        <v>53382.92</v>
      </c>
      <c r="I18">
        <v>355384.47</v>
      </c>
    </row>
    <row r="19" spans="1:9">
      <c r="A19" s="2" t="s">
        <v>26</v>
      </c>
      <c r="B19">
        <v>26.0732326</v>
      </c>
      <c r="C19">
        <v>1.586080652</v>
      </c>
      <c r="D19">
        <v>2.584333995</v>
      </c>
      <c r="E19">
        <v>14.93665718</v>
      </c>
      <c r="F19">
        <v>605645.02</v>
      </c>
      <c r="G19">
        <v>27280.43</v>
      </c>
      <c r="H19">
        <v>39093.06</v>
      </c>
      <c r="I19">
        <v>280241.61</v>
      </c>
    </row>
    <row r="20" spans="1:9">
      <c r="A20" s="2" t="s">
        <v>27</v>
      </c>
      <c r="B20">
        <v>2.804620608</v>
      </c>
      <c r="C20">
        <v>0.17061001</v>
      </c>
      <c r="D20">
        <v>0.277989174</v>
      </c>
      <c r="E20">
        <v>1.606692089</v>
      </c>
      <c r="F20">
        <v>263948.36</v>
      </c>
      <c r="G20">
        <v>34861.55</v>
      </c>
      <c r="H20">
        <v>9575.13</v>
      </c>
      <c r="I20">
        <v>338213.35</v>
      </c>
    </row>
    <row r="21" spans="1:9">
      <c r="A21" s="2" t="s">
        <v>28</v>
      </c>
      <c r="B21">
        <v>20.68186127</v>
      </c>
      <c r="C21">
        <v>1.25811404</v>
      </c>
      <c r="D21">
        <v>2.049950537</v>
      </c>
      <c r="E21">
        <v>11.84808483</v>
      </c>
      <c r="F21">
        <v>488006.12</v>
      </c>
      <c r="G21">
        <v>32583.89</v>
      </c>
      <c r="H21">
        <v>30935.1</v>
      </c>
      <c r="I21">
        <v>414135.44</v>
      </c>
    </row>
    <row r="22" spans="1:9">
      <c r="A22" s="2" t="s">
        <v>29</v>
      </c>
      <c r="B22">
        <v>23.69520088</v>
      </c>
      <c r="C22">
        <v>1.441420795</v>
      </c>
      <c r="D22">
        <v>2.34862758</v>
      </c>
      <c r="E22">
        <v>13.57434646</v>
      </c>
      <c r="F22">
        <v>85333.01</v>
      </c>
      <c r="G22">
        <v>1220.59</v>
      </c>
      <c r="H22">
        <v>7826.94</v>
      </c>
      <c r="I22">
        <v>43966.64</v>
      </c>
    </row>
    <row r="23" spans="1:9">
      <c r="A23" s="2" t="s">
        <v>30</v>
      </c>
      <c r="B23">
        <v>80.10623142</v>
      </c>
      <c r="C23">
        <v>4.873003118</v>
      </c>
      <c r="D23">
        <v>7.939991956</v>
      </c>
      <c r="E23">
        <v>45.89071618</v>
      </c>
      <c r="F23">
        <v>199543.15</v>
      </c>
      <c r="G23">
        <v>35583.43</v>
      </c>
      <c r="H23">
        <v>20518.11</v>
      </c>
      <c r="I23">
        <v>246652.38</v>
      </c>
    </row>
    <row r="24" spans="1:9">
      <c r="A24" s="2" t="s">
        <v>31</v>
      </c>
      <c r="B24">
        <v>115.5649644</v>
      </c>
      <c r="C24">
        <v>7.030020286</v>
      </c>
      <c r="D24">
        <v>11.45460062</v>
      </c>
      <c r="E24">
        <v>66.20407536</v>
      </c>
      <c r="F24">
        <v>833653.24</v>
      </c>
      <c r="G24">
        <v>131926.49</v>
      </c>
      <c r="H24">
        <v>99631.03</v>
      </c>
      <c r="I24">
        <v>353890.95</v>
      </c>
    </row>
    <row r="25" spans="1:9">
      <c r="A25" s="2" t="s">
        <v>32</v>
      </c>
      <c r="B25">
        <v>31.41624328</v>
      </c>
      <c r="C25">
        <v>1.9111054</v>
      </c>
      <c r="D25">
        <v>3.11392403</v>
      </c>
      <c r="E25">
        <v>17.99752502</v>
      </c>
      <c r="F25">
        <v>325651.11</v>
      </c>
      <c r="G25">
        <v>13157.2</v>
      </c>
      <c r="H25">
        <v>52147.53</v>
      </c>
      <c r="I25">
        <v>358881.2</v>
      </c>
    </row>
    <row r="26" spans="1:9">
      <c r="A26" s="2" t="s">
        <v>33</v>
      </c>
      <c r="B26">
        <v>55.82359929</v>
      </c>
      <c r="C26">
        <v>3.395847846</v>
      </c>
      <c r="D26">
        <v>5.533139201</v>
      </c>
      <c r="E26">
        <v>31.97984608</v>
      </c>
      <c r="F26">
        <v>1041081.91</v>
      </c>
      <c r="G26">
        <v>14834.57</v>
      </c>
      <c r="H26">
        <v>40574.18</v>
      </c>
      <c r="I26">
        <v>216650.44</v>
      </c>
    </row>
    <row r="27" spans="1:9">
      <c r="A27" s="2" t="s">
        <v>34</v>
      </c>
      <c r="B27" s="4">
        <v>7.01406e-10</v>
      </c>
      <c r="C27" s="4">
        <v>4.26677e-11</v>
      </c>
      <c r="D27" s="4">
        <v>6.95221e-11</v>
      </c>
      <c r="E27" s="4">
        <v>4.01817e-10</v>
      </c>
      <c r="F27">
        <v>10074.16</v>
      </c>
      <c r="G27">
        <v>481.01</v>
      </c>
      <c r="H27">
        <v>503.15</v>
      </c>
      <c r="I27">
        <v>2611.58</v>
      </c>
    </row>
    <row r="28" spans="1:9">
      <c r="A28" s="2" t="s">
        <v>35</v>
      </c>
      <c r="B28">
        <v>75.79406916</v>
      </c>
      <c r="C28">
        <v>4.610686695</v>
      </c>
      <c r="D28">
        <v>7.512577845</v>
      </c>
      <c r="E28">
        <v>43.42039382</v>
      </c>
      <c r="F28">
        <v>508169.03</v>
      </c>
      <c r="G28">
        <v>144365.11</v>
      </c>
      <c r="H28">
        <v>91963.83</v>
      </c>
      <c r="I28">
        <v>214447.54</v>
      </c>
    </row>
    <row r="29" spans="1:9">
      <c r="A29" s="2" t="s">
        <v>36</v>
      </c>
      <c r="B29">
        <v>15.35742691</v>
      </c>
      <c r="C29">
        <v>0.934219322</v>
      </c>
      <c r="D29">
        <v>1.522201756</v>
      </c>
      <c r="E29">
        <v>8.797858882</v>
      </c>
      <c r="F29">
        <v>664544.76</v>
      </c>
      <c r="G29">
        <v>12374.52</v>
      </c>
      <c r="H29">
        <v>101213.64</v>
      </c>
      <c r="I29">
        <v>110556.03</v>
      </c>
    </row>
    <row r="30" spans="1:9">
      <c r="A30" s="2" t="s">
        <v>37</v>
      </c>
      <c r="B30">
        <v>29.13660801</v>
      </c>
      <c r="C30">
        <v>1.772431173</v>
      </c>
      <c r="D30">
        <v>2.887970501</v>
      </c>
      <c r="E30">
        <v>16.69158298</v>
      </c>
      <c r="F30">
        <v>23430.38</v>
      </c>
      <c r="G30">
        <v>554.62</v>
      </c>
      <c r="H30">
        <v>3062.36</v>
      </c>
      <c r="I30">
        <v>7595.4</v>
      </c>
    </row>
    <row r="31" spans="1:9">
      <c r="A31" s="2" t="s">
        <v>38</v>
      </c>
      <c r="B31">
        <v>26.04132707</v>
      </c>
      <c r="C31">
        <v>1.584139783</v>
      </c>
      <c r="D31">
        <v>2.581171575</v>
      </c>
      <c r="E31">
        <v>14.91837936</v>
      </c>
      <c r="F31">
        <v>76892.67</v>
      </c>
      <c r="G31">
        <v>8829.06</v>
      </c>
      <c r="H31">
        <v>18098.97</v>
      </c>
      <c r="I31">
        <v>24910.4</v>
      </c>
    </row>
    <row r="32" spans="1:9">
      <c r="A32" s="2" t="s">
        <v>39</v>
      </c>
      <c r="B32">
        <v>143.1344124</v>
      </c>
      <c r="C32">
        <v>8.707118356</v>
      </c>
      <c r="D32">
        <v>14.18723691</v>
      </c>
      <c r="E32">
        <v>81.99787431</v>
      </c>
      <c r="F32">
        <v>782467.27</v>
      </c>
      <c r="G32">
        <v>31279.8</v>
      </c>
      <c r="H32">
        <v>129701.43</v>
      </c>
      <c r="I32">
        <v>160620.32</v>
      </c>
    </row>
    <row r="33" spans="1:9">
      <c r="A33" t="s">
        <v>40</v>
      </c>
      <c r="B33">
        <f>SUM(B2:B32)</f>
        <v>2027.7472613417</v>
      </c>
      <c r="C33">
        <f t="shared" ref="C33:I33" si="0">SUM(C2:C32)</f>
        <v>123.351436624043</v>
      </c>
      <c r="D33">
        <f t="shared" si="0"/>
        <v>200.98682286207</v>
      </c>
      <c r="E33">
        <f t="shared" si="0"/>
        <v>1161.6421395074</v>
      </c>
      <c r="F33">
        <f t="shared" si="0"/>
        <v>14117623.37</v>
      </c>
      <c r="G33">
        <f t="shared" si="0"/>
        <v>837656.78</v>
      </c>
      <c r="H33">
        <f t="shared" si="0"/>
        <v>1391332.39</v>
      </c>
      <c r="I33">
        <f t="shared" si="0"/>
        <v>8092792.66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E9" sqref="E9"/>
    </sheetView>
  </sheetViews>
  <sheetFormatPr defaultColWidth="8.72727272727273" defaultRowHeight="14"/>
  <cols>
    <col min="2" max="9" width="12.8181818181818"/>
  </cols>
  <sheetData>
    <row r="1" ht="5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>
        <v>0</v>
      </c>
      <c r="C2">
        <v>0</v>
      </c>
      <c r="D2">
        <v>0</v>
      </c>
      <c r="E2">
        <v>0</v>
      </c>
      <c r="F2" s="3">
        <v>14046.3382905086</v>
      </c>
      <c r="G2" s="3">
        <v>665.259161495106</v>
      </c>
      <c r="H2" s="3">
        <v>2323.64579995808</v>
      </c>
      <c r="I2" s="3">
        <v>11638.4489995416</v>
      </c>
    </row>
    <row r="3" spans="1:9">
      <c r="A3" s="2" t="s">
        <v>10</v>
      </c>
      <c r="B3">
        <v>1.856627672</v>
      </c>
      <c r="C3">
        <v>0.112941931</v>
      </c>
      <c r="D3">
        <v>0.184025743</v>
      </c>
      <c r="E3">
        <v>1.063612306</v>
      </c>
      <c r="F3" s="3">
        <v>39528.5732774447</v>
      </c>
      <c r="G3" s="3">
        <v>1851.58607052382</v>
      </c>
      <c r="H3" s="3">
        <v>3418.56196138993</v>
      </c>
      <c r="I3" s="3">
        <v>18864.5597867256</v>
      </c>
    </row>
    <row r="4" spans="1:9">
      <c r="A4" s="2" t="s">
        <v>11</v>
      </c>
      <c r="B4">
        <v>89.57589401</v>
      </c>
      <c r="C4">
        <v>5.449059369</v>
      </c>
      <c r="D4">
        <v>8.878608633</v>
      </c>
      <c r="E4">
        <v>51.31563245</v>
      </c>
      <c r="F4" s="3">
        <v>747238.355479656</v>
      </c>
      <c r="G4" s="3">
        <v>29669.606364463</v>
      </c>
      <c r="H4" s="3">
        <v>102236.742068762</v>
      </c>
      <c r="I4" s="3">
        <v>502232.763804717</v>
      </c>
    </row>
    <row r="5" spans="1:9">
      <c r="A5" s="2" t="s">
        <v>12</v>
      </c>
      <c r="B5">
        <v>184.1656507</v>
      </c>
      <c r="C5">
        <v>11.20312083</v>
      </c>
      <c r="D5">
        <v>18.25418272</v>
      </c>
      <c r="E5">
        <v>105.5035726</v>
      </c>
      <c r="F5" s="3">
        <v>319566.256698231</v>
      </c>
      <c r="G5" s="3">
        <v>20796.1295481885</v>
      </c>
      <c r="H5" s="3">
        <v>28251.8547466972</v>
      </c>
      <c r="I5" s="3">
        <v>141153.574196284</v>
      </c>
    </row>
    <row r="6" spans="1:9">
      <c r="A6" s="2" t="s">
        <v>13</v>
      </c>
      <c r="B6">
        <v>172.9621025</v>
      </c>
      <c r="C6">
        <v>10.52158927</v>
      </c>
      <c r="D6">
        <v>17.14370627</v>
      </c>
      <c r="E6">
        <v>99.08535969</v>
      </c>
      <c r="F6" s="3">
        <v>768383.680934936</v>
      </c>
      <c r="G6" s="3">
        <v>34623.9067618235</v>
      </c>
      <c r="H6" s="3">
        <v>137502.356541219</v>
      </c>
      <c r="I6" s="3">
        <v>157311.632494544</v>
      </c>
    </row>
    <row r="7" spans="1:9">
      <c r="A7" s="2" t="s">
        <v>14</v>
      </c>
      <c r="B7">
        <v>15.50466288</v>
      </c>
      <c r="C7">
        <v>0.943175946</v>
      </c>
      <c r="D7">
        <v>1.536795533</v>
      </c>
      <c r="E7">
        <v>8.882206431</v>
      </c>
      <c r="F7" s="3">
        <v>172353.743044901</v>
      </c>
      <c r="G7" s="3">
        <v>17205.5626680878</v>
      </c>
      <c r="H7" s="3">
        <v>20753.6305216841</v>
      </c>
      <c r="I7" s="3">
        <v>130562.526204863</v>
      </c>
    </row>
    <row r="8" spans="1:9">
      <c r="A8" s="2" t="s">
        <v>15</v>
      </c>
      <c r="B8">
        <v>12.5030364</v>
      </c>
      <c r="C8">
        <v>0.760581721</v>
      </c>
      <c r="D8">
        <v>1.239279475</v>
      </c>
      <c r="E8">
        <v>7.162654949</v>
      </c>
      <c r="F8" s="3">
        <v>197150.39967257</v>
      </c>
      <c r="G8" s="3">
        <v>4541.02983804284</v>
      </c>
      <c r="H8" s="3">
        <v>17267.7191000713</v>
      </c>
      <c r="I8" s="3">
        <v>136779.558991582</v>
      </c>
    </row>
    <row r="9" spans="1:9">
      <c r="A9" s="2" t="s">
        <v>16</v>
      </c>
      <c r="B9">
        <v>37.16996645</v>
      </c>
      <c r="C9">
        <v>2.261114512</v>
      </c>
      <c r="D9">
        <v>3.684223179</v>
      </c>
      <c r="E9">
        <v>21.29367904</v>
      </c>
      <c r="F9" s="3">
        <v>789446.646602891</v>
      </c>
      <c r="G9" s="3">
        <v>1166.44941513872</v>
      </c>
      <c r="H9" s="3">
        <v>75293.9453778852</v>
      </c>
      <c r="I9" s="3">
        <v>337266.082479722</v>
      </c>
    </row>
    <row r="10" spans="1:9">
      <c r="A10" s="2" t="s">
        <v>17</v>
      </c>
      <c r="B10">
        <v>0.497429135</v>
      </c>
      <c r="C10">
        <v>0.03025949</v>
      </c>
      <c r="D10">
        <v>0.049304321</v>
      </c>
      <c r="E10">
        <v>0.284963839</v>
      </c>
      <c r="F10" s="3">
        <v>18806.5995543443</v>
      </c>
      <c r="G10" s="3">
        <v>731.869128448589</v>
      </c>
      <c r="H10" s="3">
        <v>1293.25874072521</v>
      </c>
      <c r="I10" s="3">
        <v>10114.439067434</v>
      </c>
    </row>
    <row r="11" spans="1:9">
      <c r="A11" s="2" t="s">
        <v>18</v>
      </c>
      <c r="B11">
        <v>80.23676941</v>
      </c>
      <c r="C11">
        <v>4.880943974</v>
      </c>
      <c r="D11">
        <v>7.952930658</v>
      </c>
      <c r="E11">
        <v>45.9654979</v>
      </c>
      <c r="F11" s="3">
        <v>979837.637985292</v>
      </c>
      <c r="G11" s="3">
        <v>6213.86925951145</v>
      </c>
      <c r="H11" s="3">
        <v>21534.1792292029</v>
      </c>
      <c r="I11" s="3">
        <v>359362.192124453</v>
      </c>
    </row>
    <row r="12" spans="1:9">
      <c r="A12" s="2" t="s">
        <v>19</v>
      </c>
      <c r="B12">
        <v>14.45426133</v>
      </c>
      <c r="C12">
        <v>0.879278169</v>
      </c>
      <c r="D12">
        <v>1.432681536</v>
      </c>
      <c r="E12">
        <v>8.28045949</v>
      </c>
      <c r="F12" s="3">
        <v>209834.334523024</v>
      </c>
      <c r="G12" s="3">
        <v>14866.4235290604</v>
      </c>
      <c r="H12" s="3">
        <v>17378.1293035766</v>
      </c>
      <c r="I12" s="3">
        <v>119175.291410706</v>
      </c>
    </row>
    <row r="13" spans="1:9">
      <c r="A13" s="2" t="s">
        <v>20</v>
      </c>
      <c r="B13">
        <v>74.86321599</v>
      </c>
      <c r="C13">
        <v>4.554061257</v>
      </c>
      <c r="D13">
        <v>7.42031328</v>
      </c>
      <c r="E13">
        <v>42.88713296</v>
      </c>
      <c r="F13" s="3">
        <v>709964.90568407</v>
      </c>
      <c r="G13" s="3">
        <v>8882.31564298792</v>
      </c>
      <c r="H13" s="3">
        <v>24744.9075416397</v>
      </c>
      <c r="I13" s="3">
        <v>462854.190998741</v>
      </c>
    </row>
    <row r="14" spans="1:9">
      <c r="A14" s="2" t="s">
        <v>21</v>
      </c>
      <c r="B14">
        <v>17.57811693</v>
      </c>
      <c r="C14">
        <v>1.069307807</v>
      </c>
      <c r="D14">
        <v>1.742312733</v>
      </c>
      <c r="E14">
        <v>10.07003276</v>
      </c>
      <c r="F14" s="3">
        <v>45311.7560409796</v>
      </c>
      <c r="G14" s="3">
        <v>19421.8090482624</v>
      </c>
      <c r="H14" s="3">
        <v>9958.65558264921</v>
      </c>
      <c r="I14" s="3">
        <v>55819.3505248705</v>
      </c>
    </row>
    <row r="15" spans="1:9">
      <c r="A15" s="2" t="s">
        <v>22</v>
      </c>
      <c r="B15">
        <v>28.99859182</v>
      </c>
      <c r="C15">
        <v>1.764035405</v>
      </c>
      <c r="D15">
        <v>2.874290573</v>
      </c>
      <c r="E15">
        <v>16.61251719</v>
      </c>
      <c r="F15" s="3">
        <v>237768.874155525</v>
      </c>
      <c r="G15" s="3">
        <v>3937.35133835206</v>
      </c>
      <c r="H15" s="3">
        <v>14493.4055118616</v>
      </c>
      <c r="I15" s="3">
        <v>194218.445851318</v>
      </c>
    </row>
    <row r="16" spans="1:9">
      <c r="A16" s="2" t="s">
        <v>23</v>
      </c>
      <c r="B16">
        <v>197.5622405</v>
      </c>
      <c r="C16">
        <v>12.01805898</v>
      </c>
      <c r="D16">
        <v>19.58202967</v>
      </c>
      <c r="E16">
        <v>113.1781204</v>
      </c>
      <c r="F16" s="3">
        <v>953077.661183773</v>
      </c>
      <c r="G16" s="3">
        <v>52675.212145939</v>
      </c>
      <c r="H16" s="3">
        <v>91198.1409392366</v>
      </c>
      <c r="I16" s="3">
        <v>782882.770101496</v>
      </c>
    </row>
    <row r="17" spans="1:9">
      <c r="A17" s="2" t="s">
        <v>24</v>
      </c>
      <c r="B17">
        <v>177.1716232</v>
      </c>
      <c r="C17">
        <v>10.77766183</v>
      </c>
      <c r="D17">
        <v>17.56094674</v>
      </c>
      <c r="E17">
        <v>101.4968815</v>
      </c>
      <c r="F17" s="3">
        <v>918424.105004382</v>
      </c>
      <c r="G17" s="3">
        <v>39217.9529601652</v>
      </c>
      <c r="H17" s="3">
        <v>76935.7504205205</v>
      </c>
      <c r="I17" s="3">
        <v>1017339.8715622</v>
      </c>
    </row>
    <row r="18" spans="1:9">
      <c r="A18" s="2" t="s">
        <v>25</v>
      </c>
      <c r="B18">
        <v>103.9717659</v>
      </c>
      <c r="C18">
        <v>6.324785604</v>
      </c>
      <c r="D18">
        <v>10.3055027</v>
      </c>
      <c r="E18">
        <v>59.56264217</v>
      </c>
      <c r="F18" s="3">
        <v>247633.46582324</v>
      </c>
      <c r="G18" s="3">
        <v>41731.5555418823</v>
      </c>
      <c r="H18" s="3">
        <v>38732.1060253474</v>
      </c>
      <c r="I18" s="3">
        <v>257850.067071819</v>
      </c>
    </row>
    <row r="19" spans="1:9">
      <c r="A19" s="2" t="s">
        <v>26</v>
      </c>
      <c r="B19">
        <v>18.40463047</v>
      </c>
      <c r="C19">
        <v>1.11958608</v>
      </c>
      <c r="D19">
        <v>1.824235334</v>
      </c>
      <c r="E19">
        <v>10.54352025</v>
      </c>
      <c r="F19" s="3">
        <v>419367.424131006</v>
      </c>
      <c r="G19" s="3">
        <v>18889.8184458627</v>
      </c>
      <c r="H19" s="3">
        <v>27069.2490374864</v>
      </c>
      <c r="I19" s="3">
        <v>194047.994184852</v>
      </c>
    </row>
    <row r="20" spans="1:9">
      <c r="A20" s="2" t="s">
        <v>27</v>
      </c>
      <c r="B20">
        <v>2.055986258</v>
      </c>
      <c r="C20">
        <v>0.125069265</v>
      </c>
      <c r="D20">
        <v>0.203785824</v>
      </c>
      <c r="E20">
        <v>1.177819505</v>
      </c>
      <c r="F20" s="3">
        <v>168266.243811744</v>
      </c>
      <c r="G20" s="3">
        <v>22224.1261317294</v>
      </c>
      <c r="H20" s="3">
        <v>6104.11411599371</v>
      </c>
      <c r="I20" s="3">
        <v>215609.940613518</v>
      </c>
    </row>
    <row r="21" spans="1:9">
      <c r="A21" s="2" t="s">
        <v>28</v>
      </c>
      <c r="B21">
        <v>14.13597286</v>
      </c>
      <c r="C21">
        <v>0.859916121</v>
      </c>
      <c r="D21">
        <v>1.40113333</v>
      </c>
      <c r="E21">
        <v>8.098120545</v>
      </c>
      <c r="F21" s="3">
        <v>331135.623745984</v>
      </c>
      <c r="G21" s="3">
        <v>22109.7360183211</v>
      </c>
      <c r="H21" s="3">
        <v>20990.955463949</v>
      </c>
      <c r="I21" s="3">
        <v>281010.814383225</v>
      </c>
    </row>
    <row r="22" spans="1:9">
      <c r="A22" s="2" t="s">
        <v>29</v>
      </c>
      <c r="B22">
        <v>21.85058933</v>
      </c>
      <c r="C22">
        <v>1.329209826</v>
      </c>
      <c r="D22">
        <v>2.165792853</v>
      </c>
      <c r="E22">
        <v>12.51761786</v>
      </c>
      <c r="F22" s="3">
        <v>90133.940561212</v>
      </c>
      <c r="G22" s="3">
        <v>1289.26363580973</v>
      </c>
      <c r="H22" s="3">
        <v>8267.28903304929</v>
      </c>
      <c r="I22" s="3">
        <v>46440.2543853484</v>
      </c>
    </row>
    <row r="23" spans="1:9">
      <c r="A23" s="2" t="s">
        <v>30</v>
      </c>
      <c r="B23">
        <v>67.54748414</v>
      </c>
      <c r="C23">
        <v>4.109032406</v>
      </c>
      <c r="D23">
        <v>6.695190514</v>
      </c>
      <c r="E23">
        <v>38.69614596</v>
      </c>
      <c r="F23" s="3">
        <v>165011.948042466</v>
      </c>
      <c r="G23" s="3">
        <v>29425.673145847</v>
      </c>
      <c r="H23" s="3">
        <v>16967.4241246575</v>
      </c>
      <c r="I23" s="3">
        <v>203968.871576008</v>
      </c>
    </row>
    <row r="24" spans="1:9">
      <c r="A24" s="2" t="s">
        <v>31</v>
      </c>
      <c r="B24">
        <v>86.05505342</v>
      </c>
      <c r="C24">
        <v>5.234880436</v>
      </c>
      <c r="D24">
        <v>8.529628967</v>
      </c>
      <c r="E24">
        <v>49.2986371</v>
      </c>
      <c r="F24" s="3">
        <v>614699.224836744</v>
      </c>
      <c r="G24" s="3">
        <v>97276.7903371185</v>
      </c>
      <c r="H24" s="3">
        <v>73463.5402727827</v>
      </c>
      <c r="I24" s="3">
        <v>260943.617647893</v>
      </c>
    </row>
    <row r="25" spans="1:9">
      <c r="A25" s="2" t="s">
        <v>32</v>
      </c>
      <c r="B25">
        <v>26.95683926</v>
      </c>
      <c r="C25">
        <v>1.639832001</v>
      </c>
      <c r="D25">
        <v>2.671915568</v>
      </c>
      <c r="E25">
        <v>15.44285179</v>
      </c>
      <c r="F25" s="3">
        <v>279787.419508826</v>
      </c>
      <c r="G25" s="3">
        <v>11304.1817854018</v>
      </c>
      <c r="H25" s="3">
        <v>44803.2307116947</v>
      </c>
      <c r="I25" s="3">
        <v>308337.485462812</v>
      </c>
    </row>
    <row r="26" spans="1:9">
      <c r="A26" s="2" t="s">
        <v>33</v>
      </c>
      <c r="B26">
        <v>49.79167963</v>
      </c>
      <c r="C26">
        <v>3.028915551</v>
      </c>
      <c r="D26">
        <v>4.935265693</v>
      </c>
      <c r="E26">
        <v>28.52432074</v>
      </c>
      <c r="F26" s="3">
        <v>929150.084614911</v>
      </c>
      <c r="G26" s="3">
        <v>13239.6309514991</v>
      </c>
      <c r="H26" s="3">
        <v>36211.8473306803</v>
      </c>
      <c r="I26" s="3">
        <v>193357.291673504</v>
      </c>
    </row>
    <row r="27" spans="1:9">
      <c r="A27" s="2" t="s">
        <v>34</v>
      </c>
      <c r="B27" s="4">
        <v>6.09126e-10</v>
      </c>
      <c r="C27" s="4">
        <v>3.70542e-11</v>
      </c>
      <c r="D27" s="4">
        <v>6.03755e-11</v>
      </c>
      <c r="E27" s="4">
        <v>3.48952e-10</v>
      </c>
      <c r="F27" s="3">
        <v>0</v>
      </c>
      <c r="G27" s="3">
        <v>0</v>
      </c>
      <c r="H27" s="3">
        <v>0</v>
      </c>
      <c r="I27" s="3">
        <v>0</v>
      </c>
    </row>
    <row r="28" spans="1:9">
      <c r="A28" s="2" t="s">
        <v>35</v>
      </c>
      <c r="B28">
        <v>72.06238022</v>
      </c>
      <c r="C28">
        <v>4.383681485</v>
      </c>
      <c r="D28">
        <v>7.142699253</v>
      </c>
      <c r="E28">
        <v>41.2826091</v>
      </c>
      <c r="F28" s="3">
        <v>517717.565006622</v>
      </c>
      <c r="G28" s="3">
        <v>147077.741418158</v>
      </c>
      <c r="H28" s="3">
        <v>93691.8342068641</v>
      </c>
      <c r="I28" s="3">
        <v>218477.020677663</v>
      </c>
    </row>
    <row r="29" spans="1:9">
      <c r="A29" s="2" t="s">
        <v>36</v>
      </c>
      <c r="B29">
        <v>14.61419309</v>
      </c>
      <c r="C29">
        <v>0.8890071</v>
      </c>
      <c r="D29">
        <v>1.448533697</v>
      </c>
      <c r="E29">
        <v>8.372080116</v>
      </c>
      <c r="F29" s="3">
        <v>635904.553794009</v>
      </c>
      <c r="G29" s="3">
        <v>11841.2091172824</v>
      </c>
      <c r="H29" s="3">
        <v>96851.5849249179</v>
      </c>
      <c r="I29" s="3">
        <v>105791.347922849</v>
      </c>
    </row>
    <row r="30" spans="1:9">
      <c r="A30" s="2" t="s">
        <v>37</v>
      </c>
      <c r="B30">
        <v>22.48823629</v>
      </c>
      <c r="C30">
        <v>1.367999014</v>
      </c>
      <c r="D30">
        <v>2.228995324</v>
      </c>
      <c r="E30">
        <v>12.88290874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2" t="s">
        <v>38</v>
      </c>
      <c r="B31">
        <v>25.09210821</v>
      </c>
      <c r="C31">
        <v>1.526397128</v>
      </c>
      <c r="D31">
        <v>2.487086633</v>
      </c>
      <c r="E31">
        <v>14.37459728</v>
      </c>
      <c r="F31" s="3">
        <v>90459.577194437</v>
      </c>
      <c r="G31" s="3">
        <v>10386.8505972387</v>
      </c>
      <c r="H31" s="3">
        <v>21292.338578006</v>
      </c>
      <c r="I31" s="3">
        <v>29305.5755772104</v>
      </c>
    </row>
    <row r="32" spans="1:9">
      <c r="A32" s="2" t="s">
        <v>39</v>
      </c>
      <c r="B32">
        <v>138.2045788</v>
      </c>
      <c r="C32">
        <v>8.407227897</v>
      </c>
      <c r="D32">
        <v>13.69860028</v>
      </c>
      <c r="E32">
        <v>79.17370458</v>
      </c>
      <c r="F32" s="3">
        <v>806587.280764743</v>
      </c>
      <c r="G32" s="3">
        <v>32244.0189419035</v>
      </c>
      <c r="H32" s="3">
        <v>133699.554894508</v>
      </c>
      <c r="I32" s="3">
        <v>165571.531180122</v>
      </c>
    </row>
    <row r="33" spans="1:9">
      <c r="A33" t="s">
        <v>40</v>
      </c>
      <c r="B33">
        <f t="shared" ref="B33:I33" si="0">SUM(B2:B32)</f>
        <v>1768.33168680561</v>
      </c>
      <c r="C33">
        <f t="shared" si="0"/>
        <v>107.570730405037</v>
      </c>
      <c r="D33">
        <f t="shared" si="0"/>
        <v>175.27399703406</v>
      </c>
      <c r="E33">
        <f t="shared" si="0"/>
        <v>1013.02989924135</v>
      </c>
      <c r="F33">
        <f t="shared" si="0"/>
        <v>12416594.2199685</v>
      </c>
      <c r="G33">
        <f t="shared" si="0"/>
        <v>715506.928948545</v>
      </c>
      <c r="H33">
        <f t="shared" si="0"/>
        <v>1262729.95210702</v>
      </c>
      <c r="I33">
        <f t="shared" si="0"/>
        <v>6918287.51095602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2021</vt:lpstr>
      <vt:lpstr>2030</vt:lpstr>
      <vt:lpstr>2050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balibalichw</cp:lastModifiedBy>
  <dcterms:created xsi:type="dcterms:W3CDTF">2025-11-03T12:27:00Z</dcterms:created>
  <dcterms:modified xsi:type="dcterms:W3CDTF">2025-12-03T05:51:25Z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2A4A0B44883A44F29B31684B4D3D5D33</vt:lpwstr>
  </property>
  <property fmtid="{D5CDD505-2E9C-101B-9397-08002B2CF9AE}" pid="3" name="KSOProductBuildVer">
    <vt:lpwstr>2052-12.1.0.19302</vt:lpwstr>
  </property>
</Properties>
</file>